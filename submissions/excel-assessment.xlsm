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SUS\OneDrive\Desktop\"/>
    </mc:Choice>
  </mc:AlternateContent>
  <xr:revisionPtr revIDLastSave="0" documentId="8_{7D8080CE-8CC4-4721-95E6-14C7522EEA5F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/>
  <c r="C35" i="20"/>
  <c r="C24" i="20"/>
  <c r="C25" i="20"/>
  <c r="C26" i="20"/>
  <c r="C27" i="20"/>
  <c r="C28" i="20"/>
  <c r="C29" i="20"/>
  <c r="C30" i="20"/>
  <c r="C31" i="20"/>
  <c r="C32" i="20"/>
  <c r="C33" i="20"/>
  <c r="C34" i="20"/>
  <c r="C22" i="19" a="1"/>
  <c r="C22" i="19" s="1"/>
  <c r="C28" i="18"/>
  <c r="D28" i="18"/>
  <c r="E28" i="18"/>
  <c r="F28" i="18"/>
  <c r="F30" i="18"/>
  <c r="E30" i="18"/>
  <c r="D30" i="18"/>
  <c r="C30" i="18"/>
  <c r="B30" i="18"/>
  <c r="F29" i="18"/>
  <c r="E29" i="18"/>
  <c r="D29" i="18"/>
  <c r="C29" i="18"/>
  <c r="B29" i="18"/>
  <c r="B28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6" i="18"/>
  <c r="D6" i="18"/>
  <c r="C6" i="18"/>
  <c r="B6" i="18"/>
  <c r="C5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<sst xmlns="http://schemas.openxmlformats.org/spreadsheetml/2006/main" count="406" uniqueCount="183">
  <si>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</si>
  <si>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</si>
  <si>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</si>
  <si>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</si>
  <si>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</si>
  <si>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</si>
  <si>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</si>
  <si>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</si>
  <si>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</si>
  <si>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</si>
  <si>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</si>
  <si>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</si>
  <si>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</si>
  <si>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</si>
  <si>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</si>
  <si>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</si>
  <si>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</si>
  <si>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</si>
  <si>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</si>
  <si>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</si>
  <si>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</si>
  <si>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</si>
  <si>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</si>
  <si>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</si>
  <si>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</si>
  <si>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</si>
  <si>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</si>
  <si>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</si>
  <si>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</si>
  <si>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</si>
  <si>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</si>
  <si>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</si>
  <si>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</si>
  <si>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</si>
  <si>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</si>
  <si>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</si>
  <si>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</si>
  <si>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</si>
  <si>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</si>
  <si>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</si>
  <si>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</si>
  <si>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</si>
  <si>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</si>
  <si>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</si>
  <si>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</si>
  <si>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</si>
  <si>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</si>
  <si>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</si>
  <si>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</si>
  <si>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</si>
  <si>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</si>
  <si>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</si>
  <si>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</si>
  <si>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</si>
  <si>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</si>
  <si>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</si>
  <si>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</si>
  <si>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</si>
  <si>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</si>
  <si>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</si>
  <si>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</si>
  <si>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</si>
  <si>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</si>
  <si>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</si>
  <si>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</si>
  <si>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</si>
  <si>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</si>
  <si>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</si>
  <si>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</si>
  <si>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</si>
  <si>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</si>
  <si>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</si>
  <si>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</si>
  <si>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</si>
  <si>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</si>
  <si>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</si>
  <si>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</si>
  <si>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</si>
  <si>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</si>
  <si>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</si>
  <si>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</si>
  <si>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</si>
  <si>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</si>
  <si>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</si>
  <si>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</si>
  <si>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</si>
  <si>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</si>
  <si>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</si>
  <si>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</si>
  <si>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</si>
  <si>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</si>
  <si>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</si>
  <si>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</si>
  <si>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</si>
  <si>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</si>
  <si>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</si>
  <si>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</si>
  <si>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</si>
  <si>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</si>
  <si>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</si>
  <si>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</si>
  <si>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</si>
  <si>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</si>
  <si>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</si>
  <si>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</si>
  <si>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</si>
  <si>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</si>
  <si>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</si>
  <si>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</si>
  <si>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</si>
  <si>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</si>
  <si>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</si>
  <si>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</si>
  <si>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</si>
  <si>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</si>
  <si>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</si>
  <si>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</si>
  <si>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</si>
  <si>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</si>
  <si>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</si>
  <si>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</si>
  <si>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</si>
  <si>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</si>
  <si>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</si>
  <si>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</si>
  <si>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</si>
  <si>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</si>
  <si>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</si>
  <si>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</si>
  <si>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</si>
  <si>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</si>
  <si>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</si>
  <si>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</si>
  <si>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</si>
  <si>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</si>
  <si>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</si>
  <si>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</si>
  <si>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</si>
  <si>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</si>
  <si>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</si>
  <si>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</si>
  <si>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</si>
  <si>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</si>
  <si>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</si>
  <si>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</si>
  <si>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</si>
  <si>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</si>
  <si>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</si>
  <si>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</si>
  <si>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</si>
  <si>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</si>
  <si>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</si>
  <si>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</si>
  <si>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</si>
  <si>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</si>
  <si>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</si>
  <si>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</si>
  <si>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</si>
  <si>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</si>
  <si>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</si>
  <si>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</si>
  <si>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</si>
  <si>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</si>
  <si>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</si>
  <si>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</si>
  <si>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</si>
  <si>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</si>
  <si>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</si>
  <si>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</si>
  <si>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</si>
  <si>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</si>
  <si>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</si>
  <si>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</si>
  <si>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</si>
  <si>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</si>
  <si>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</si>
  <si>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</si>
  <si>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Data spliting using delimiter</t>
  </si>
  <si>
    <t>Data splitting using delimiter</t>
  </si>
  <si>
    <t>SUM(IF(ISNA(c12:c20), 20, c12:c20))</t>
  </si>
  <si>
    <t>if is used to compare the NA value and replaced with 20 and added up with remaining values</t>
  </si>
  <si>
    <t>INDEX($A$9:$J$18,MATCH(VLOOKUP(A35,$M$9:$N$18,2,FALSE),$A$9:$A$18,0),MATCH(VLOOKUP(B35,$M$9:$N$18,2,FALSE),$A$9:$J$9,0))</t>
  </si>
  <si>
    <t>we used vlookup match and index in table_c to pull the data from table_a and table_b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</si>
</sst>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8" formatCode="yyyy\-mm\-dd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color rgb="FF202124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8" fontId="7" fillId="0" borderId="0" xfId="0" applyNumberFormat="1" applyFont="1"/>
    <xf numFmtId="168" fontId="3" fillId="0" borderId="0" xfId="0" applyNumberFormat="1" applyFont="1"/>
    <xf numFmtId="0" fontId="18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1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3" sqref="A3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K2" zoomScaleNormal="100" workbookViewId="0">
      <pane ySplit="1" topLeftCell="A3" activePane="bottomLeft" state="frozen"/>
      <selection activeCell="A2" sqref="A2"/>
      <selection pane="bottomLeft" activeCell="X2" sqref="X1:X1048576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4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</sheetData>
  <conditionalFormatting sqref="A1:A1048576">
    <cfRule type="duplicateValues" dxfId="7" priority="5"/>
  </conditionalFormatting>
  <conditionalFormatting sqref="B1:B1048576">
    <cfRule type="duplicateValues" dxfId="6" priority="4"/>
  </conditionalFormatting>
  <conditionalFormatting sqref="A1:X40">
    <cfRule type="cellIs" dxfId="5" priority="3" operator="equal">
      <formula>-1</formula>
    </cfRule>
  </conditionalFormatting>
  <conditionalFormatting sqref="G1:X1048576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>
        <f>SUMIF(Dataset!H6:H40,"&gt;20")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1"/>
  <sheetViews>
    <sheetView zoomScaleNormal="100" workbookViewId="0">
      <selection activeCell="G30" sqref="G3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164</v>
      </c>
    </row>
    <row r="2" spans="1:7" s="40" customFormat="1" ht="21" x14ac:dyDescent="0.4">
      <c r="B2" s="40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45">
        <f>VLOOKUP(A6,Dataset!A1:G40,7,0)</f>
        <v>2.7</v>
      </c>
      <c r="C6" s="45">
        <f>VLOOKUP(A6,Dataset!A1:N40,14,0)</f>
        <v>7.6</v>
      </c>
      <c r="D6" s="45">
        <f>VLOOKUP(A6,Dataset!A1:R40,18,0)</f>
        <v>4.2</v>
      </c>
      <c r="E6" s="45">
        <f>VLOOKUP(A6,Dataset!A1:T40,20,0)</f>
        <v>8.9</v>
      </c>
      <c r="F6" s="45">
        <f>VLOOKUP(A6,Dataset!A1:V40,22,0)</f>
        <v>4.2</v>
      </c>
    </row>
    <row r="7" spans="1:7" ht="14.4" x14ac:dyDescent="0.3">
      <c r="A7" s="7" t="s">
        <v>4</v>
      </c>
      <c r="B7" s="45">
        <f>VLOOKUP(A7,Dataset!A2:G41,7,0)</f>
        <v>2.7</v>
      </c>
      <c r="C7" s="45">
        <f>VLOOKUP(A7,Dataset!A2:N41,14,0)</f>
        <v>7.6</v>
      </c>
      <c r="D7" s="45">
        <f>VLOOKUP(A7,Dataset!A2:R41,18,0)</f>
        <v>4.2</v>
      </c>
      <c r="E7" s="45">
        <f>VLOOKUP(A7,Dataset!A2:T41,20,0)</f>
        <v>8.9</v>
      </c>
      <c r="F7" s="45">
        <f>VLOOKUP(A7,Dataset!A2:V41,22,0)</f>
        <v>4.2</v>
      </c>
    </row>
    <row r="8" spans="1:7" ht="14.4" x14ac:dyDescent="0.3">
      <c r="A8" s="7" t="s">
        <v>7</v>
      </c>
      <c r="B8" s="45">
        <f>VLOOKUP(A8,Dataset!A3:G42,7,0)</f>
        <v>3.6</v>
      </c>
      <c r="C8" s="45">
        <f>VLOOKUP(A8,Dataset!A3:N42,14,0)</f>
        <v>11.1</v>
      </c>
      <c r="D8" s="45">
        <f>VLOOKUP(A8,Dataset!A3:R42,18,0)</f>
        <v>5.8</v>
      </c>
      <c r="E8" s="45">
        <f>VLOOKUP(A8,Dataset!A3:T42,20,0)</f>
        <v>12.2</v>
      </c>
      <c r="F8" s="45">
        <f>VLOOKUP(A8,Dataset!A3:V42,22,0)</f>
        <v>5.8</v>
      </c>
    </row>
    <row r="9" spans="1:7" ht="14.4" x14ac:dyDescent="0.3">
      <c r="A9" s="7" t="s">
        <v>8</v>
      </c>
      <c r="B9" s="45">
        <f>VLOOKUP(A9,Dataset!A4:G43,7,0)</f>
        <v>4.9000000000000004</v>
      </c>
      <c r="C9" s="45">
        <f>VLOOKUP(A9,Dataset!A4:N43,14,0)</f>
        <v>13.3</v>
      </c>
      <c r="D9" s="45">
        <f>VLOOKUP(A9,Dataset!A4:R43,18,0)</f>
        <v>8.1</v>
      </c>
      <c r="E9" s="45">
        <f>VLOOKUP(A9,Dataset!A4:T43,20,0)</f>
        <v>17</v>
      </c>
      <c r="F9" s="45">
        <f>VLOOKUP(A9,Dataset!A4:V43,22,0)</f>
        <v>8.1</v>
      </c>
    </row>
    <row r="10" spans="1:7" ht="14.4" x14ac:dyDescent="0.3">
      <c r="A10" s="7" t="s">
        <v>11</v>
      </c>
      <c r="B10" s="45">
        <f>VLOOKUP(A10,Dataset!A5:G44,7,0)</f>
        <v>9.4</v>
      </c>
      <c r="C10" s="45">
        <f>VLOOKUP(A10,Dataset!A5:N44,14,0)</f>
        <v>28.3</v>
      </c>
      <c r="D10" s="45">
        <f>VLOOKUP(A10,Dataset!A5:R44,18,0)</f>
        <v>16.100000000000001</v>
      </c>
      <c r="E10" s="45">
        <f>VLOOKUP(A10,Dataset!A5:T44,20,0)</f>
        <v>32.799999999999997</v>
      </c>
      <c r="F10" s="45">
        <f>VLOOKUP(A10,Dataset!A5:V44,22,0)</f>
        <v>16.100000000000001</v>
      </c>
    </row>
    <row r="11" spans="1:7" ht="14.4" x14ac:dyDescent="0.3">
      <c r="A11" s="7" t="s">
        <v>12</v>
      </c>
      <c r="B11" s="45">
        <f>VLOOKUP(A11,Dataset!A6:G45,7,0)</f>
        <v>11.6</v>
      </c>
      <c r="C11" s="45">
        <f>VLOOKUP(A11,Dataset!A6:N45,14,0)</f>
        <v>35.200000000000003</v>
      </c>
      <c r="D11" s="45">
        <f>VLOOKUP(A11,Dataset!A6:R45,18,0)</f>
        <v>21.3</v>
      </c>
      <c r="E11" s="45">
        <f>VLOOKUP(A11,Dataset!A6:T45,20,0)</f>
        <v>43</v>
      </c>
      <c r="F11" s="45">
        <f>VLOOKUP(A11,Dataset!A6:V45,22,0)</f>
        <v>21.3</v>
      </c>
    </row>
    <row r="12" spans="1:7" ht="14.4" x14ac:dyDescent="0.3">
      <c r="A12" s="7" t="s">
        <v>14</v>
      </c>
      <c r="B12" s="45">
        <f>VLOOKUP(A12,Dataset!A7:G46,7,0)</f>
        <v>18.399999999999999</v>
      </c>
      <c r="C12" s="45">
        <f>VLOOKUP(A12,Dataset!A7:N46,14,0)</f>
        <v>55.6</v>
      </c>
      <c r="D12" s="45">
        <f>VLOOKUP(A12,Dataset!A7:R46,18,0)</f>
        <v>33.799999999999997</v>
      </c>
      <c r="E12" s="45">
        <f>VLOOKUP(A12,Dataset!A7:T46,20,0)</f>
        <v>67.900000000000006</v>
      </c>
      <c r="F12" s="45">
        <f>VLOOKUP(A12,Dataset!A7:V46,22,0)</f>
        <v>33.799999999999997</v>
      </c>
    </row>
    <row r="13" spans="1:7" ht="14.4" x14ac:dyDescent="0.3">
      <c r="A13" s="7" t="s">
        <v>15</v>
      </c>
      <c r="B13" s="45">
        <f>VLOOKUP(A13,Dataset!A8:G47,7,0)</f>
        <v>0</v>
      </c>
      <c r="C13" s="45">
        <f>VLOOKUP(A13,Dataset!A8:N47,14,0)</f>
        <v>0</v>
      </c>
      <c r="D13" s="45">
        <f>VLOOKUP(A13,Dataset!A8:R47,18,0)</f>
        <v>0</v>
      </c>
      <c r="E13" s="45">
        <f>VLOOKUP(A13,Dataset!A8:T47,20,0)</f>
        <v>0</v>
      </c>
      <c r="F13" s="45">
        <f>VLOOKUP(A13,Dataset!A8:V47,22,0)</f>
        <v>0</v>
      </c>
    </row>
    <row r="14" spans="1:7" ht="14.4" x14ac:dyDescent="0.3">
      <c r="A14" s="7" t="s">
        <v>16</v>
      </c>
      <c r="B14" s="45">
        <f>VLOOKUP(A14,Dataset!A9:G48,7,0)</f>
        <v>21.9</v>
      </c>
      <c r="C14" s="45">
        <f>VLOOKUP(A14,Dataset!A9:N48,14,0)</f>
        <v>61.5</v>
      </c>
      <c r="D14" s="45">
        <f>VLOOKUP(A14,Dataset!A9:R48,18,0)</f>
        <v>40.1</v>
      </c>
      <c r="E14" s="45">
        <f>VLOOKUP(A14,Dataset!A9:T48,20,0)</f>
        <v>76.599999999999994</v>
      </c>
      <c r="F14" s="45">
        <f>VLOOKUP(A14,Dataset!A9:V48,22,0)</f>
        <v>40.1</v>
      </c>
    </row>
    <row r="15" spans="1:7" ht="14.4" x14ac:dyDescent="0.3">
      <c r="A15" s="7" t="s">
        <v>18</v>
      </c>
      <c r="B15" s="45">
        <f>VLOOKUP(A15,Dataset!A10:G49,7,0)</f>
        <v>26.8</v>
      </c>
      <c r="C15" s="45">
        <f>VLOOKUP(A15,Dataset!A10:N49,14,0)</f>
        <v>79.599999999999994</v>
      </c>
      <c r="D15" s="45">
        <f>VLOOKUP(A15,Dataset!A10:R49,18,0)</f>
        <v>47.9</v>
      </c>
      <c r="E15" s="45">
        <f>VLOOKUP(A15,Dataset!A10:T49,20,0)</f>
        <v>96.8</v>
      </c>
      <c r="F15" s="45">
        <f>VLOOKUP(A15,Dataset!A10:V49,22,0)</f>
        <v>47.9</v>
      </c>
    </row>
    <row r="16" spans="1:7" ht="14.4" x14ac:dyDescent="0.3">
      <c r="A16" s="7" t="s">
        <v>20</v>
      </c>
      <c r="B16" s="45">
        <f>VLOOKUP(A16,Dataset!A11:G50,7,0)</f>
        <v>28.5</v>
      </c>
      <c r="C16" s="45">
        <f>VLOOKUP(A16,Dataset!A11:N50,14,0)</f>
        <v>85.4</v>
      </c>
      <c r="D16" s="45">
        <f>VLOOKUP(A16,Dataset!A11:R50,18,0)</f>
        <v>52.3</v>
      </c>
      <c r="E16" s="45">
        <f>VLOOKUP(A16,Dataset!A11:T50,20,0)</f>
        <v>106.1</v>
      </c>
      <c r="F16" s="45">
        <f>VLOOKUP(A16,Dataset!A11:V50,22,0)</f>
        <v>52.3</v>
      </c>
    </row>
    <row r="17" spans="1:6" ht="14.4" x14ac:dyDescent="0.3">
      <c r="A17" s="7" t="s">
        <v>22</v>
      </c>
      <c r="B17" s="45">
        <f>VLOOKUP(A17,Dataset!A12:G51,7,0)</f>
        <v>30.7</v>
      </c>
      <c r="C17" s="45">
        <f>VLOOKUP(A17,Dataset!A12:N51,14,0)</f>
        <v>92.1</v>
      </c>
      <c r="D17" s="45">
        <f>VLOOKUP(A17,Dataset!A12:R51,18,0)</f>
        <v>57</v>
      </c>
      <c r="E17" s="45">
        <f>VLOOKUP(A17,Dataset!A12:T51,20,0)</f>
        <v>115.1</v>
      </c>
      <c r="F17" s="45">
        <f>VLOOKUP(A17,Dataset!A12:V51,22,0)</f>
        <v>57</v>
      </c>
    </row>
    <row r="18" spans="1:6" ht="14.4" x14ac:dyDescent="0.3">
      <c r="A18" s="7" t="s">
        <v>23</v>
      </c>
      <c r="B18" s="45">
        <f>VLOOKUP(A18,Dataset!A13:G52,7,0)</f>
        <v>33.799999999999997</v>
      </c>
      <c r="C18" s="45">
        <f>VLOOKUP(A18,Dataset!A13:N52,14,0)</f>
        <v>101.3</v>
      </c>
      <c r="D18" s="45">
        <f>VLOOKUP(A18,Dataset!A13:R52,18,0)</f>
        <v>61.4</v>
      </c>
      <c r="E18" s="45">
        <f>VLOOKUP(A18,Dataset!A13:T52,20,0)</f>
        <v>124.4</v>
      </c>
      <c r="F18" s="45">
        <f>VLOOKUP(A18,Dataset!A13:V52,22,0)</f>
        <v>61.4</v>
      </c>
    </row>
    <row r="19" spans="1:6" ht="14.4" x14ac:dyDescent="0.3">
      <c r="A19" s="7" t="s">
        <v>24</v>
      </c>
      <c r="B19" s="45">
        <f>VLOOKUP(A19,Dataset!A14:G53,7,0)</f>
        <v>34.700000000000003</v>
      </c>
      <c r="C19" s="45">
        <f>VLOOKUP(A19,Dataset!A14:N53,14,0)</f>
        <v>106.1</v>
      </c>
      <c r="D19" s="45">
        <f>VLOOKUP(A19,Dataset!A14:R53,18,0)</f>
        <v>63.6</v>
      </c>
      <c r="E19" s="45">
        <f>VLOOKUP(A19,Dataset!A14:T53,20,0)</f>
        <v>128.6</v>
      </c>
      <c r="F19" s="45">
        <f>VLOOKUP(A19,Dataset!A14:V53,22,0)</f>
        <v>63.6</v>
      </c>
    </row>
    <row r="20" spans="1:6" ht="14.4" x14ac:dyDescent="0.3">
      <c r="A20" s="7" t="s">
        <v>28</v>
      </c>
      <c r="B20" s="45">
        <f>VLOOKUP(A20,Dataset!A15:G54,7,0)</f>
        <v>0</v>
      </c>
      <c r="C20" s="45">
        <f>VLOOKUP(A20,Dataset!A15:N54,14,0)</f>
        <v>0</v>
      </c>
      <c r="D20" s="45">
        <f>VLOOKUP(A20,Dataset!A15:R54,18,0)</f>
        <v>0</v>
      </c>
      <c r="E20" s="45">
        <f>VLOOKUP(A20,Dataset!A15:T54,20,0)</f>
        <v>0</v>
      </c>
      <c r="F20" s="45">
        <f>VLOOKUP(A20,Dataset!A15:V54,22,0)</f>
        <v>0</v>
      </c>
    </row>
    <row r="21" spans="1:6" ht="14.4" x14ac:dyDescent="0.3">
      <c r="A21" s="7" t="s">
        <v>57</v>
      </c>
      <c r="B21" s="45">
        <f>VLOOKUP(A21,Dataset!A16:G55,7,0)</f>
        <v>41.3</v>
      </c>
      <c r="C21" s="45">
        <f>VLOOKUP(A21,Dataset!A16:N55,14,0)</f>
        <v>124.4</v>
      </c>
      <c r="D21" s="45">
        <f>VLOOKUP(A21,Dataset!A16:R55,18,0)</f>
        <v>75</v>
      </c>
      <c r="E21" s="45">
        <f>VLOOKUP(A21,Dataset!A16:T55,20,0)</f>
        <v>151.5</v>
      </c>
      <c r="F21" s="45">
        <f>VLOOKUP(A21,Dataset!A16:V55,22,0)</f>
        <v>75</v>
      </c>
    </row>
    <row r="22" spans="1:6" ht="14.4" x14ac:dyDescent="0.3">
      <c r="A22" s="7" t="s">
        <v>58</v>
      </c>
      <c r="B22" s="45">
        <f>VLOOKUP(A22,Dataset!A17:G56,7,0)</f>
        <v>-1</v>
      </c>
      <c r="C22" s="45">
        <f>VLOOKUP(A22,Dataset!A17:N56,14,0)</f>
        <v>-1</v>
      </c>
      <c r="D22" s="45">
        <f>VLOOKUP(A22,Dataset!A17:R56,18,0)</f>
        <v>-1</v>
      </c>
      <c r="E22" s="45">
        <f>VLOOKUP(A22,Dataset!A17:T56,20,0)</f>
        <v>-1</v>
      </c>
      <c r="F22" s="45">
        <f>VLOOKUP(A22,Dataset!A17:V56,22,0)</f>
        <v>-1</v>
      </c>
    </row>
    <row r="23" spans="1:6" ht="14.4" x14ac:dyDescent="0.3">
      <c r="A23" s="7" t="s">
        <v>31</v>
      </c>
      <c r="B23" s="45">
        <f>VLOOKUP(A23,Dataset!A18:G57,7,0)</f>
        <v>45</v>
      </c>
      <c r="C23" s="45">
        <f>VLOOKUP(A23,Dataset!A18:N57,14,0)</f>
        <v>133.4</v>
      </c>
      <c r="D23" s="45">
        <f>VLOOKUP(A23,Dataset!A18:R57,18,0)</f>
        <v>79.400000000000006</v>
      </c>
      <c r="E23" s="45">
        <f>VLOOKUP(A23,Dataset!A18:T57,20,0)</f>
        <v>160.9</v>
      </c>
      <c r="F23" s="45">
        <f>VLOOKUP(A23,Dataset!A18:V57,22,0)</f>
        <v>79.400000000000006</v>
      </c>
    </row>
    <row r="24" spans="1:6" ht="14.4" x14ac:dyDescent="0.3">
      <c r="A24" s="7" t="s">
        <v>32</v>
      </c>
      <c r="B24" s="45">
        <f>VLOOKUP(A24,Dataset!A19:G58,7,0)</f>
        <v>-1</v>
      </c>
      <c r="C24" s="45">
        <f>VLOOKUP(A24,Dataset!A19:N58,14,0)</f>
        <v>-1</v>
      </c>
      <c r="D24" s="45">
        <f>VLOOKUP(A24,Dataset!A19:R58,18,0)</f>
        <v>-1</v>
      </c>
      <c r="E24" s="45">
        <f>VLOOKUP(A24,Dataset!A19:T58,20,0)</f>
        <v>-1</v>
      </c>
      <c r="F24" s="45">
        <f>VLOOKUP(A24,Dataset!A19:V58,22,0)</f>
        <v>-1</v>
      </c>
    </row>
    <row r="25" spans="1:6" ht="14.4" x14ac:dyDescent="0.3">
      <c r="A25" s="7" t="s">
        <v>34</v>
      </c>
      <c r="B25" s="45">
        <f>VLOOKUP(A25,Dataset!A20:G59,7,0)</f>
        <v>43.3</v>
      </c>
      <c r="C25" s="45">
        <f>VLOOKUP(A25,Dataset!A20:N59,14,0)</f>
        <v>128.6</v>
      </c>
      <c r="D25" s="45">
        <f>VLOOKUP(A25,Dataset!A20:R59,18,0)</f>
        <v>79.400000000000006</v>
      </c>
      <c r="E25" s="45">
        <f>VLOOKUP(A25,Dataset!A20:T59,20,0)</f>
        <v>160.9</v>
      </c>
      <c r="F25" s="45">
        <f>VLOOKUP(A25,Dataset!A20:V59,22,0)</f>
        <v>79.400000000000006</v>
      </c>
    </row>
    <row r="26" spans="1:6" ht="14.4" x14ac:dyDescent="0.3">
      <c r="A26" s="7" t="s">
        <v>37</v>
      </c>
      <c r="B26" s="45">
        <f>VLOOKUP(A26,Dataset!A21:G60,7,0)</f>
        <v>49.1</v>
      </c>
      <c r="C26" s="45">
        <f>VLOOKUP(A26,Dataset!A21:N60,14,0)</f>
        <v>146.80000000000001</v>
      </c>
      <c r="D26" s="45">
        <f>VLOOKUP(A26,Dataset!A21:R60,18,0)</f>
        <v>90.9</v>
      </c>
      <c r="E26" s="45">
        <f>VLOOKUP(A26,Dataset!A21:T60,20,0)</f>
        <v>183.5</v>
      </c>
      <c r="F26" s="45">
        <f>VLOOKUP(A26,Dataset!A21:V60,22,0)</f>
        <v>90.9</v>
      </c>
    </row>
    <row r="27" spans="1:6" ht="14.4" x14ac:dyDescent="0.3">
      <c r="A27" s="7" t="s">
        <v>39</v>
      </c>
      <c r="B27" s="45">
        <f>VLOOKUP(A27,Dataset!A22:G61,7,0)</f>
        <v>51.8</v>
      </c>
      <c r="C27" s="45">
        <f>VLOOKUP(A27,Dataset!A22:N61,14,0)</f>
        <v>156.4</v>
      </c>
      <c r="D27" s="45">
        <f>VLOOKUP(A27,Dataset!A22:R61,18,0)</f>
        <v>93.1</v>
      </c>
      <c r="E27" s="45">
        <f>VLOOKUP(A27,Dataset!A22:T61,20,0)</f>
        <v>188.1</v>
      </c>
      <c r="F27" s="45">
        <f>VLOOKUP(A27,Dataset!A22:V61,22,0)</f>
        <v>93.1</v>
      </c>
    </row>
    <row r="28" spans="1:6" ht="14.4" x14ac:dyDescent="0.3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4" x14ac:dyDescent="0.3">
      <c r="A29" s="18" t="s">
        <v>83</v>
      </c>
      <c r="B29" s="30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4.4" x14ac:dyDescent="0.3">
      <c r="A30" s="18" t="s">
        <v>84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37.800000000000004</v>
      </c>
    </row>
    <row r="31" spans="1:6" ht="14.4" x14ac:dyDescent="0.3">
      <c r="B31" s="30"/>
      <c r="C31" s="30"/>
      <c r="D31" s="30"/>
      <c r="E31" s="30"/>
      <c r="F31" s="3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6" sqref="B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 t="s">
        <v>53</v>
      </c>
      <c r="B5" s="39" t="s">
        <v>178</v>
      </c>
    </row>
    <row r="6" spans="1:10" ht="18" x14ac:dyDescent="0.35">
      <c r="A6" s="42" t="s">
        <v>153</v>
      </c>
      <c r="B6" s="39" t="s">
        <v>177</v>
      </c>
    </row>
    <row r="7" spans="1:10" ht="18" x14ac:dyDescent="0.35">
      <c r="A7" s="42"/>
      <c r="B7" s="39"/>
    </row>
    <row r="9" spans="1:10" ht="23.4" x14ac:dyDescent="0.45">
      <c r="A9" s="17" t="s">
        <v>165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121</v>
      </c>
      <c r="B16" s="7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122</v>
      </c>
      <c r="B17" s="7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123</v>
      </c>
      <c r="B18" s="7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124</v>
      </c>
      <c r="B19" s="7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125</v>
      </c>
      <c r="B20" s="7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126</v>
      </c>
      <c r="B21" s="7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127</v>
      </c>
      <c r="B22" s="7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128</v>
      </c>
      <c r="B23" s="7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129</v>
      </c>
      <c r="B24" s="7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130</v>
      </c>
      <c r="B25" s="7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131</v>
      </c>
      <c r="B26" s="7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132</v>
      </c>
      <c r="B27" s="7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133</v>
      </c>
      <c r="B28" s="7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134</v>
      </c>
      <c r="B29" s="7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135</v>
      </c>
      <c r="B30" s="7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136</v>
      </c>
      <c r="B31" s="7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137</v>
      </c>
      <c r="B32" s="7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138</v>
      </c>
      <c r="B33" s="7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139</v>
      </c>
      <c r="B34" s="7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140</v>
      </c>
      <c r="B35" s="7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141</v>
      </c>
      <c r="B36" s="7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142</v>
      </c>
      <c r="B37" s="7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143</v>
      </c>
      <c r="B38" s="7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144</v>
      </c>
      <c r="B39" s="7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145</v>
      </c>
      <c r="B40" s="7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146</v>
      </c>
      <c r="B41" s="7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147</v>
      </c>
      <c r="B42" s="7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148</v>
      </c>
      <c r="B43" s="7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149</v>
      </c>
      <c r="B44" s="7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150</v>
      </c>
      <c r="B45" s="7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112</v>
      </c>
      <c r="B46" s="7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113</v>
      </c>
      <c r="B47" s="7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114</v>
      </c>
      <c r="B48" s="7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115</v>
      </c>
      <c r="B49" s="7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116</v>
      </c>
      <c r="B50" s="7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117</v>
      </c>
      <c r="B51" s="7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118</v>
      </c>
      <c r="B52" s="7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119</v>
      </c>
      <c r="B53" s="7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8" t="s">
        <v>120</v>
      </c>
      <c r="B54" s="8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8" sqref="B8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167</v>
      </c>
    </row>
    <row r="2" spans="1:3" ht="18" x14ac:dyDescent="0.35">
      <c r="B2" s="39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45" t="s">
        <v>179</v>
      </c>
    </row>
    <row r="7" spans="1:3" ht="14.4" x14ac:dyDescent="0.3">
      <c r="A7" s="3" t="s">
        <v>153</v>
      </c>
      <c r="B7" s="1" t="s">
        <v>180</v>
      </c>
    </row>
    <row r="10" spans="1:3" ht="23.4" x14ac:dyDescent="0.45">
      <c r="A10" s="17" t="s">
        <v>162</v>
      </c>
    </row>
    <row r="11" spans="1:3" ht="14.4" x14ac:dyDescent="0.3">
      <c r="A11" s="31" t="s">
        <v>86</v>
      </c>
      <c r="B11" s="16" t="s">
        <v>87</v>
      </c>
      <c r="C11" s="16" t="s">
        <v>88</v>
      </c>
    </row>
    <row r="12" spans="1:3" ht="14.4" x14ac:dyDescent="0.3">
      <c r="A12" s="31">
        <v>44927</v>
      </c>
      <c r="B12" s="16" t="s">
        <v>59</v>
      </c>
      <c r="C12" s="16">
        <v>200</v>
      </c>
    </row>
    <row r="13" spans="1:3" ht="14.4" x14ac:dyDescent="0.3">
      <c r="A13" s="31">
        <v>44928</v>
      </c>
      <c r="B13" s="16" t="s">
        <v>60</v>
      </c>
      <c r="C13" s="16" t="e">
        <v>#N/A</v>
      </c>
    </row>
    <row r="14" spans="1:3" ht="14.4" x14ac:dyDescent="0.3">
      <c r="A14" s="31">
        <v>44929</v>
      </c>
      <c r="B14" s="16" t="s">
        <v>61</v>
      </c>
      <c r="C14" s="16">
        <v>50</v>
      </c>
    </row>
    <row r="15" spans="1:3" ht="14.4" x14ac:dyDescent="0.3">
      <c r="A15" s="31">
        <v>44930</v>
      </c>
      <c r="B15" s="16" t="s">
        <v>62</v>
      </c>
      <c r="C15" s="16" t="e">
        <v>#N/A</v>
      </c>
    </row>
    <row r="16" spans="1:3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154</v>
      </c>
      <c r="C17" s="16">
        <v>150</v>
      </c>
    </row>
    <row r="18" spans="1:3" ht="14.4" x14ac:dyDescent="0.3">
      <c r="A18" s="31">
        <v>44933</v>
      </c>
      <c r="B18" s="16" t="s">
        <v>155</v>
      </c>
      <c r="C18" s="16">
        <v>80</v>
      </c>
    </row>
    <row r="19" spans="1:3" ht="14.4" x14ac:dyDescent="0.3">
      <c r="A19" s="31">
        <v>44934</v>
      </c>
      <c r="B19" s="16" t="s">
        <v>156</v>
      </c>
      <c r="C19" s="16" t="e">
        <v>#N/A</v>
      </c>
    </row>
    <row r="20" spans="1:3" ht="14.4" x14ac:dyDescent="0.3">
      <c r="A20" s="31">
        <v>44935</v>
      </c>
      <c r="B20" s="16" t="s">
        <v>157</v>
      </c>
      <c r="C20" s="16">
        <v>30</v>
      </c>
    </row>
    <row r="21" spans="1:3" ht="14.4" x14ac:dyDescent="0.3">
      <c r="A21" s="31">
        <v>44936</v>
      </c>
      <c r="B21" s="16" t="s">
        <v>158</v>
      </c>
      <c r="C21" s="16" t="e">
        <v>#N/A</v>
      </c>
    </row>
    <row r="22" spans="1:3" ht="14.4" x14ac:dyDescent="0.3">
      <c r="B22" s="16" t="s">
        <v>159</v>
      </c>
      <c r="C22" s="24" cm="1">
        <f t="array" ref="C22">SUM(IF(ISNA(C12:C21), 20, 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B6" sqref="B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 t="s">
        <v>53</v>
      </c>
      <c r="B4" s="1" t="s">
        <v>181</v>
      </c>
    </row>
    <row r="5" spans="1:14" ht="18" x14ac:dyDescent="0.35">
      <c r="A5" s="42" t="s">
        <v>153</v>
      </c>
      <c r="B5" s="1" t="s">
        <v>182</v>
      </c>
    </row>
    <row r="6" spans="1:14" ht="14.4" x14ac:dyDescent="0.3">
      <c r="A6" s="3"/>
      <c r="B6" s="1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168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5">
        <f>INDEX($A$9:$I$18,MATCH(VLOOKUP(A23,$M$9:$N$18,2,FALSE),$A$9:$A$18,0),MATCH(VLOOKUP(B23,$M$9:$N$18,2,FALSE),$A$9:$I$9,0))</f>
        <v>95</v>
      </c>
    </row>
    <row r="24" spans="1:14" ht="14.4" x14ac:dyDescent="0.3">
      <c r="A24" s="7">
        <v>10100</v>
      </c>
      <c r="B24" s="11">
        <v>10104</v>
      </c>
      <c r="C24" s="45">
        <f t="shared" ref="C24:C35" si="0">INDEX($A$9:$I$18,MATCH(VLOOKUP(A24,$M$9:$N$18,2,FALSE),$A$9:$A$18,0),MATCH(VLOOKUP(B24,$M$9:$N$18,2,FALSE),$A$9:$I$9,0))</f>
        <v>-1</v>
      </c>
    </row>
    <row r="25" spans="1:14" ht="14.4" x14ac:dyDescent="0.3">
      <c r="A25" s="7">
        <v>10108</v>
      </c>
      <c r="B25" s="11">
        <v>10102</v>
      </c>
      <c r="C25" s="45">
        <f t="shared" si="0"/>
        <v>160</v>
      </c>
    </row>
    <row r="26" spans="1:14" ht="14.4" x14ac:dyDescent="0.3">
      <c r="A26" s="7">
        <v>10100</v>
      </c>
      <c r="B26" s="11">
        <v>10106</v>
      </c>
      <c r="C26" s="45">
        <f t="shared" si="0"/>
        <v>185</v>
      </c>
    </row>
    <row r="27" spans="1:14" ht="14.4" x14ac:dyDescent="0.3">
      <c r="A27" s="7">
        <v>10108</v>
      </c>
      <c r="B27" s="11">
        <v>10110</v>
      </c>
      <c r="C27" s="45">
        <f t="shared" si="0"/>
        <v>50</v>
      </c>
    </row>
    <row r="28" spans="1:14" ht="14.4" x14ac:dyDescent="0.3">
      <c r="A28" s="7">
        <v>10102</v>
      </c>
      <c r="B28" s="11">
        <v>10104</v>
      </c>
      <c r="C28" s="45">
        <f t="shared" si="0"/>
        <v>-1</v>
      </c>
    </row>
    <row r="29" spans="1:14" ht="14.4" x14ac:dyDescent="0.3">
      <c r="A29" s="7">
        <v>10106</v>
      </c>
      <c r="B29" s="11">
        <v>10108</v>
      </c>
      <c r="C29" s="45">
        <f t="shared" si="0"/>
        <v>70</v>
      </c>
    </row>
    <row r="30" spans="1:14" ht="14.4" x14ac:dyDescent="0.3">
      <c r="A30" s="7">
        <v>10102</v>
      </c>
      <c r="B30" s="11">
        <v>10106</v>
      </c>
      <c r="C30" s="45">
        <f t="shared" si="0"/>
        <v>90</v>
      </c>
    </row>
    <row r="31" spans="1:14" ht="14.4" x14ac:dyDescent="0.3">
      <c r="A31" s="7">
        <v>10110</v>
      </c>
      <c r="B31" s="11">
        <v>10114</v>
      </c>
      <c r="C31" s="45">
        <f t="shared" si="0"/>
        <v>180</v>
      </c>
    </row>
    <row r="32" spans="1:14" ht="14.4" x14ac:dyDescent="0.3">
      <c r="A32" s="7">
        <v>10104</v>
      </c>
      <c r="B32" s="11">
        <v>10106</v>
      </c>
      <c r="C32" s="45">
        <f t="shared" si="0"/>
        <v>60</v>
      </c>
    </row>
    <row r="33" spans="1:3" ht="14.4" x14ac:dyDescent="0.3">
      <c r="A33" s="7">
        <v>10110</v>
      </c>
      <c r="B33" s="11">
        <v>10112</v>
      </c>
      <c r="C33" s="45">
        <f t="shared" si="0"/>
        <v>115</v>
      </c>
    </row>
    <row r="34" spans="1:3" ht="14.4" x14ac:dyDescent="0.3">
      <c r="A34" s="7">
        <v>10100</v>
      </c>
      <c r="B34" s="11">
        <v>10114</v>
      </c>
      <c r="C34" s="45">
        <f t="shared" si="0"/>
        <v>480</v>
      </c>
    </row>
    <row r="35" spans="1:3" ht="14.4" x14ac:dyDescent="0.3">
      <c r="A35" s="8">
        <v>10112</v>
      </c>
      <c r="B35" s="12">
        <v>10116</v>
      </c>
      <c r="C35" s="45">
        <f>INDEX($A$9:$J$18,MATCH(VLOOKUP(A35,$M$9:$N$18,2,FALSE),$A$9:$A$18,0),MATCH(VLOOKUP(B35,$M$9:$N$18,2,FALSE),$A$9:$J$9,0))</f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prayas rana</cp:lastModifiedBy>
  <dcterms:created xsi:type="dcterms:W3CDTF">2015-02-10T17:33:11Z</dcterms:created>
  <dcterms:modified xsi:type="dcterms:W3CDTF">2023-12-10T17:03:14Z</dcterms:modified>
</cp:coreProperties>
</file>